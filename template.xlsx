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/d/yy"/>
    <numFmt numFmtId="165" formatCode="#,##0.0"/>
    <numFmt numFmtId="166" formatCode="#,##0.0;(#,##0.0)"/>
    <numFmt numFmtId="167" formatCode="0.0&quot;x&quot;"/>
    <numFmt numFmtId="168" formatCode="0.0%;(0.0%)"/>
    <numFmt numFmtId="169" formatCode="0.00;(0.00)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color rgb="000000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2" fillId="0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0" fillId="0" borderId="5" pivotButton="0" quotePrefix="0" xfId="0"/>
    <xf numFmtId="0" fontId="2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2" fillId="2" borderId="1" applyAlignment="1" pivotButton="0" quotePrefix="0" xfId="0">
      <alignment horizontal="right" vertical="top" wrapText="1"/>
    </xf>
    <xf numFmtId="164" fontId="2" fillId="3" borderId="1" applyAlignment="1" pivotButton="0" quotePrefix="0" xfId="0">
      <alignment horizontal="right" vertical="top" wrapText="1"/>
    </xf>
    <xf numFmtId="1" fontId="2" fillId="2" borderId="1" applyAlignment="1" pivotButton="0" quotePrefix="0" xfId="0">
      <alignment horizontal="right" vertical="top" wrapText="1"/>
    </xf>
    <xf numFmtId="1" fontId="2" fillId="3" borderId="1" applyAlignment="1" pivotButton="0" quotePrefix="0" xfId="0">
      <alignment horizontal="right"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6" fontId="1" fillId="0" borderId="1" applyAlignment="1" pivotButton="0" quotePrefix="0" xfId="0">
      <alignment horizontal="right" vertical="top" wrapText="1"/>
    </xf>
    <xf numFmtId="166" fontId="4" fillId="3" borderId="1" applyAlignment="1" pivotButton="0" quotePrefix="0" xfId="0">
      <alignment horizontal="right" vertical="top" wrapText="1"/>
    </xf>
    <xf numFmtId="168" fontId="2" fillId="0" borderId="1" applyAlignment="1" pivotButton="0" quotePrefix="0" xfId="0">
      <alignment horizontal="right" vertical="top" wrapText="1"/>
    </xf>
    <xf numFmtId="168" fontId="5" fillId="3" borderId="1" applyAlignment="1" pivotButton="0" quotePrefix="0" xfId="0">
      <alignment horizontal="right" vertical="top" wrapText="1"/>
    </xf>
    <xf numFmtId="166" fontId="5" fillId="3" borderId="1" applyAlignment="1" pivotButton="0" quotePrefix="0" xfId="0">
      <alignment horizontal="right" vertical="top" wrapText="1"/>
    </xf>
    <xf numFmtId="165" fontId="5" fillId="3" borderId="1" applyAlignment="1" pivotButton="0" quotePrefix="0" xfId="0">
      <alignment horizontal="right" vertical="top" wrapText="1"/>
    </xf>
    <xf numFmtId="169" fontId="2" fillId="0" borderId="1" applyAlignment="1" pivotButton="0" quotePrefix="0" xfId="0">
      <alignment horizontal="right" vertical="top" wrapText="1"/>
    </xf>
    <xf numFmtId="169" fontId="5" fillId="3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9" customWidth="1" min="3" max="3"/>
    <col width="14" customWidth="1" min="4" max="4"/>
    <col width="48" customWidth="1" min="5" max="5"/>
  </cols>
  <sheetData>
    <row r="1">
      <c r="A1" s="1" t="inlineStr">
        <is>
          <t>Ticker</t>
        </is>
      </c>
      <c r="B1" s="1" t="n"/>
      <c r="C1" s="1" t="inlineStr">
        <is>
          <t>As of</t>
        </is>
      </c>
      <c r="D1" s="1" t="inlineStr">
        <is>
          <t>Source</t>
        </is>
      </c>
      <c r="E1" s="1" t="inlineStr">
        <is>
          <t>Note</t>
        </is>
      </c>
    </row>
    <row r="2">
      <c r="A2" s="2" t="inlineStr">
        <is>
          <t>Company</t>
        </is>
      </c>
      <c r="B2" s="3" t="n"/>
      <c r="C2" s="4" t="n"/>
      <c r="D2" s="3" t="n"/>
      <c r="E2" s="3" t="n"/>
    </row>
    <row r="3">
      <c r="A3" s="2" t="inlineStr">
        <is>
          <t>CIK</t>
        </is>
      </c>
      <c r="B3" s="5" t="n"/>
      <c r="C3" s="6" t="n"/>
      <c r="D3" s="3" t="inlineStr">
        <is>
          <t>SEC</t>
        </is>
      </c>
      <c r="E3" s="3" t="n"/>
    </row>
    <row r="4">
      <c r="A4" s="2" t="inlineStr">
        <is>
          <t>Fiscal year end</t>
        </is>
      </c>
      <c r="B4" s="5" t="n"/>
      <c r="C4" s="6" t="n"/>
      <c r="D4" s="3" t="inlineStr">
        <is>
          <t>SEC</t>
        </is>
      </c>
      <c r="E4" s="3" t="n"/>
    </row>
    <row r="5">
      <c r="A5" s="2" t="inlineStr">
        <is>
          <t>Price ($)</t>
        </is>
      </c>
      <c r="B5" s="7" t="n"/>
      <c r="C5" s="6" t="n"/>
      <c r="D5" s="3" t="n"/>
      <c r="E5" s="3" t="n"/>
    </row>
    <row r="6">
      <c r="A6" s="2" t="inlineStr">
        <is>
          <t>Shares out (M)</t>
        </is>
      </c>
      <c r="B6" s="8" t="n"/>
      <c r="C6" s="6" t="n"/>
      <c r="D6" s="3" t="n"/>
      <c r="E6" s="3" t="n"/>
    </row>
    <row r="7">
      <c r="A7" s="2" t="inlineStr">
        <is>
          <t>Market cap ($M)</t>
        </is>
      </c>
      <c r="B7" s="9">
        <f>IF(OR(B5="",B6=""),"",B5*B6)</f>
        <v/>
      </c>
      <c r="C7" s="6" t="n"/>
      <c r="D7" s="3" t="inlineStr">
        <is>
          <t>Formula</t>
        </is>
      </c>
      <c r="E7" s="3" t="n"/>
    </row>
    <row r="8">
      <c r="A8" s="2" t="inlineStr">
        <is>
          <t>Cash and ST investments ($M)</t>
        </is>
      </c>
      <c r="B8" s="9" t="n"/>
      <c r="C8" s="6" t="n"/>
      <c r="D8" s="3" t="n"/>
      <c r="E8" s="3" t="n"/>
    </row>
    <row r="9">
      <c r="A9" s="2" t="inlineStr">
        <is>
          <t>Debt ($M)</t>
        </is>
      </c>
      <c r="B9" s="9" t="n"/>
      <c r="C9" s="6" t="n"/>
      <c r="D9" s="3" t="n"/>
      <c r="E9" s="3" t="n"/>
    </row>
    <row r="10">
      <c r="A10" s="2" t="inlineStr">
        <is>
          <t>EV ($M)</t>
        </is>
      </c>
      <c r="B10" s="9">
        <f>IF(B7="","",B7-B8+B9)</f>
        <v/>
      </c>
      <c r="C10" s="6" t="n"/>
      <c r="D10" s="3" t="inlineStr">
        <is>
          <t>Formula</t>
        </is>
      </c>
      <c r="E10" s="3" t="n"/>
    </row>
    <row r="11">
      <c r="A11" s="2" t="inlineStr">
        <is>
          <t>EV / Sales (TTM)</t>
        </is>
      </c>
      <c r="B11" s="10">
        <f>IF(OR(B10="",COUNTIF(Model!$B$4:$AZ$4,"*uarter")&lt;4),"",IF(SUM(OFFSET(Model!$B$7,0,COUNTIF(Model!$B$4:$AZ$4,"*uarter")-4,1,4))&lt;=0,"NM",B10/SUM(OFFSET(Model!$B$7,0,COUNTIF(Model!$B$4:$AZ$4,"*uarter")-4,1,4))))</f>
        <v/>
      </c>
      <c r="C11" s="6" t="n"/>
      <c r="D11" s="3" t="inlineStr">
        <is>
          <t>Formula</t>
        </is>
      </c>
      <c r="E11" s="3" t="n"/>
    </row>
    <row r="12">
      <c r="A12" s="2" t="inlineStr">
        <is>
          <t>P/E (TTM)</t>
        </is>
      </c>
      <c r="B12" s="10">
        <f>IF(OR(B7="",COUNTIF(Model!$B$4:$AZ$4,"*uarter")&lt;4),"",IF(SUM(OFFSET(Model!$B$21,0,COUNTIF(Model!$B$4:$AZ$4,"*uarter")-4,1,4))&lt;=0,"NM",B7/SUM(OFFSET(Model!$B$21,0,COUNTIF(Model!$B$4:$AZ$4,"*uarter")-4,1,4))))</f>
        <v/>
      </c>
      <c r="C12" s="6" t="n"/>
      <c r="D12" s="3" t="inlineStr">
        <is>
          <t>Formula</t>
        </is>
      </c>
      <c r="E12" s="3" t="n"/>
    </row>
    <row r="13">
      <c r="A13" s="2" t="inlineStr">
        <is>
          <t>Backlog ($M)</t>
        </is>
      </c>
      <c r="B13" s="9" t="n"/>
      <c r="C13" s="6" t="n"/>
      <c r="D13" s="3" t="n"/>
      <c r="E13" s="3" t="n"/>
    </row>
    <row r="14" ht="45" customHeight="1">
      <c r="A14" s="2" t="inlineStr">
        <is>
          <t>Business</t>
        </is>
      </c>
      <c r="B14" s="3" t="n"/>
      <c r="C14" s="11" t="n"/>
      <c r="D14" s="11" t="n"/>
      <c r="E14" s="4" t="n"/>
    </row>
    <row r="15" ht="45" customHeight="1">
      <c r="A15" s="2" t="inlineStr">
        <is>
          <t>Customers</t>
        </is>
      </c>
      <c r="B15" s="3" t="n"/>
      <c r="C15" s="11" t="n"/>
      <c r="D15" s="11" t="n"/>
      <c r="E15" s="4" t="n"/>
    </row>
    <row r="16" ht="45" customHeight="1">
      <c r="A16" s="2" t="inlineStr">
        <is>
          <t>End markets</t>
        </is>
      </c>
      <c r="B16" s="3" t="n"/>
      <c r="C16" s="11" t="n"/>
      <c r="D16" s="11" t="n"/>
      <c r="E16" s="4" t="n"/>
    </row>
    <row r="17" ht="45" customHeight="1">
      <c r="A17" s="2" t="inlineStr">
        <is>
          <t>Products</t>
        </is>
      </c>
      <c r="B17" s="3" t="n"/>
      <c r="C17" s="11" t="n"/>
      <c r="D17" s="11" t="n"/>
      <c r="E17" s="4" t="n"/>
    </row>
    <row r="18" ht="45" customHeight="1">
      <c r="A18" s="2" t="inlineStr">
        <is>
          <t>Competitors</t>
        </is>
      </c>
      <c r="B18" s="3" t="n"/>
      <c r="C18" s="11" t="n"/>
      <c r="D18" s="11" t="n"/>
      <c r="E18" s="4" t="n"/>
    </row>
    <row r="19" ht="45" customHeight="1">
      <c r="A19" s="2" t="inlineStr">
        <is>
          <t>Notes (mine)</t>
        </is>
      </c>
      <c r="B19" s="12" t="n"/>
      <c r="C19" s="11" t="n"/>
      <c r="D19" s="11" t="n"/>
      <c r="E19" s="4" t="n"/>
    </row>
  </sheetData>
  <mergeCells count="7">
    <mergeCell ref="B17:E17"/>
    <mergeCell ref="B18:E18"/>
    <mergeCell ref="B2:C2"/>
    <mergeCell ref="B16:E16"/>
    <mergeCell ref="B15:E15"/>
    <mergeCell ref="B19:E19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Fiscal label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3" t="inlineStr">
        <is>
          <t>Proj</t>
        </is>
      </c>
      <c r="N1" s="13" t="inlineStr">
        <is>
          <t>Proj</t>
        </is>
      </c>
      <c r="O1" s="13" t="inlineStr">
        <is>
          <t>Proj</t>
        </is>
      </c>
      <c r="P1" s="13" t="inlineStr">
        <is>
          <t>Proj</t>
        </is>
      </c>
    </row>
    <row r="2">
      <c r="A2" s="1" t="inlineStr">
        <is>
          <t>Period end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5" t="n"/>
      <c r="N2" s="15" t="n"/>
      <c r="O2" s="15" t="n"/>
      <c r="P2" s="15" t="n"/>
    </row>
    <row r="3">
      <c r="A3" s="1" t="inlineStr">
        <is>
          <t>Weeks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7" t="n"/>
      <c r="N3" s="17" t="n"/>
      <c r="O3" s="17" t="n"/>
      <c r="P3" s="17" t="n"/>
    </row>
    <row r="4">
      <c r="A4" s="1" t="inlineStr">
        <is>
          <t>Kind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3" t="inlineStr">
        <is>
          <t>Proj</t>
        </is>
      </c>
      <c r="N4" s="13" t="inlineStr">
        <is>
          <t>Proj</t>
        </is>
      </c>
      <c r="O4" s="13" t="inlineStr">
        <is>
          <t>Proj</t>
        </is>
      </c>
      <c r="P4" s="13" t="inlineStr">
        <is>
          <t>Proj</t>
        </is>
      </c>
    </row>
    <row r="5">
      <c r="A5" s="1" t="inlineStr">
        <is>
          <t>Source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2" t="n"/>
      <c r="N5" s="12" t="n"/>
      <c r="O5" s="12" t="n"/>
      <c r="P5" s="12" t="n"/>
    </row>
    <row r="6">
      <c r="A6" s="19" t="inlineStr">
        <is>
          <t>$M unless noted</t>
        </is>
      </c>
    </row>
    <row r="7">
      <c r="A7" s="2" t="inlineStr">
        <is>
          <t>Revenue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1" t="n"/>
      <c r="N7" s="21" t="n"/>
      <c r="O7" s="21" t="n"/>
      <c r="P7" s="21" t="n"/>
    </row>
    <row r="8">
      <c r="A8" s="3" t="inlineStr">
        <is>
          <t>Revenue Y/Y</t>
        </is>
      </c>
      <c r="B8" s="22" t="n"/>
      <c r="C8" s="22" t="n"/>
      <c r="D8" s="22" t="n"/>
      <c r="E8" s="22" t="n"/>
      <c r="F8" s="22">
        <f>IF(OR(F7="",B7=""),"",IF(B7&lt;=0,"NM",F7/B7-1))</f>
        <v/>
      </c>
      <c r="G8" s="22">
        <f>IF(OR(G7="",C7=""),"",IF(C7&lt;=0,"NM",G7/C7-1))</f>
        <v/>
      </c>
      <c r="H8" s="22">
        <f>IF(OR(H7="",D7=""),"",IF(D7&lt;=0,"NM",H7/D7-1))</f>
        <v/>
      </c>
      <c r="I8" s="22">
        <f>IF(OR(I7="",E7=""),"",IF(E7&lt;=0,"NM",I7/E7-1))</f>
        <v/>
      </c>
      <c r="J8" s="22" t="n"/>
      <c r="K8" s="22">
        <f>IF(OR(K7="",J7=""),"",IF(J7&lt;=0,"NM",K7/J7-1))</f>
        <v/>
      </c>
      <c r="L8" s="22">
        <f>IF(OR(L7="",K7=""),"",IF(K7&lt;=0,"NM",L7/K7-1))</f>
        <v/>
      </c>
      <c r="M8" s="23">
        <f>IF(OR(M7="",F7=""),"",IF(F7&lt;=0,"NM",M7/F7-1))</f>
        <v/>
      </c>
      <c r="N8" s="23">
        <f>IF(OR(N7="",G7=""),"",IF(G7&lt;=0,"NM",N7/G7-1))</f>
        <v/>
      </c>
      <c r="O8" s="23">
        <f>IF(OR(O7="",H7=""),"",IF(H7&lt;=0,"NM",O7/H7-1))</f>
        <v/>
      </c>
      <c r="P8" s="23">
        <f>IF(OR(P7="",I7=""),"",IF(I7&lt;=0,"NM",P7/I7-1))</f>
        <v/>
      </c>
    </row>
    <row r="9">
      <c r="A9" s="3" t="inlineStr">
        <is>
          <t>COGS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24" t="n"/>
      <c r="N9" s="24" t="n"/>
      <c r="O9" s="24" t="n"/>
      <c r="P9" s="24" t="n"/>
    </row>
    <row r="10">
      <c r="A10" s="2" t="inlineStr">
        <is>
          <t>Gross profit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1" t="n"/>
      <c r="N10" s="21" t="n"/>
      <c r="O10" s="21" t="n"/>
      <c r="P10" s="21" t="n"/>
    </row>
    <row r="11">
      <c r="A11" s="3" t="inlineStr">
        <is>
          <t>Gross margin</t>
        </is>
      </c>
      <c r="B11" s="22">
        <f>IF(OR(B10="",B7=""),"",IF(B7&lt;=0,"NM",B10/B7))</f>
        <v/>
      </c>
      <c r="C11" s="22">
        <f>IF(OR(C10="",C7=""),"",IF(C7&lt;=0,"NM",C10/C7))</f>
        <v/>
      </c>
      <c r="D11" s="22">
        <f>IF(OR(D10="",D7=""),"",IF(D7&lt;=0,"NM",D10/D7))</f>
        <v/>
      </c>
      <c r="E11" s="22">
        <f>IF(OR(E10="",E7=""),"",IF(E7&lt;=0,"NM",E10/E7))</f>
        <v/>
      </c>
      <c r="F11" s="22">
        <f>IF(OR(F10="",F7=""),"",IF(F7&lt;=0,"NM",F10/F7))</f>
        <v/>
      </c>
      <c r="G11" s="22">
        <f>IF(OR(G10="",G7=""),"",IF(G7&lt;=0,"NM",G10/G7))</f>
        <v/>
      </c>
      <c r="H11" s="22">
        <f>IF(OR(H10="",H7=""),"",IF(H7&lt;=0,"NM",H10/H7))</f>
        <v/>
      </c>
      <c r="I11" s="22">
        <f>IF(OR(I10="",I7=""),"",IF(I7&lt;=0,"NM",I10/I7))</f>
        <v/>
      </c>
      <c r="J11" s="22">
        <f>IF(OR(J10="",J7=""),"",IF(J7&lt;=0,"NM",J10/J7))</f>
        <v/>
      </c>
      <c r="K11" s="22">
        <f>IF(OR(K10="",K7=""),"",IF(K7&lt;=0,"NM",K10/K7))</f>
        <v/>
      </c>
      <c r="L11" s="22">
        <f>IF(OR(L10="",L7=""),"",IF(L7&lt;=0,"NM",L10/L7))</f>
        <v/>
      </c>
      <c r="M11" s="23">
        <f>IF(OR(M10="",M7=""),"",IF(M7&lt;=0,"NM",M10/M7))</f>
        <v/>
      </c>
      <c r="N11" s="23">
        <f>IF(OR(N10="",N7=""),"",IF(N7&lt;=0,"NM",N10/N7))</f>
        <v/>
      </c>
      <c r="O11" s="23">
        <f>IF(OR(O10="",O7=""),"",IF(O7&lt;=0,"NM",O10/O7))</f>
        <v/>
      </c>
      <c r="P11" s="23">
        <f>IF(OR(P10="",P7=""),"",IF(P7&lt;=0,"NM",P10/P7))</f>
        <v/>
      </c>
    </row>
    <row r="12">
      <c r="A12" s="3" t="inlineStr">
        <is>
          <t>SG&amp;A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24" t="n"/>
      <c r="N12" s="24" t="n"/>
      <c r="O12" s="24" t="n"/>
      <c r="P12" s="24" t="n"/>
    </row>
    <row r="13">
      <c r="A13" s="3" t="inlineStr">
        <is>
          <t>R&amp;D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24" t="n"/>
      <c r="N13" s="24" t="n"/>
      <c r="O13" s="24" t="n"/>
      <c r="P13" s="24" t="n"/>
    </row>
    <row r="14">
      <c r="A14" s="3" t="inlineStr">
        <is>
          <t>Other operating items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24" t="n"/>
      <c r="N14" s="24" t="n"/>
      <c r="O14" s="24" t="n"/>
      <c r="P14" s="24" t="n"/>
    </row>
    <row r="15">
      <c r="A15" s="2" t="inlineStr">
        <is>
          <t>Operating income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1" t="n"/>
      <c r="N15" s="21" t="n"/>
      <c r="O15" s="21" t="n"/>
      <c r="P15" s="21" t="n"/>
    </row>
    <row r="16">
      <c r="A16" s="3" t="inlineStr">
        <is>
          <t>Operating margin</t>
        </is>
      </c>
      <c r="B16" s="22">
        <f>IF(OR(B15="",B7=""),"",IF(B7&lt;=0,"NM",B15/B7))</f>
        <v/>
      </c>
      <c r="C16" s="22">
        <f>IF(OR(C15="",C7=""),"",IF(C7&lt;=0,"NM",C15/C7))</f>
        <v/>
      </c>
      <c r="D16" s="22">
        <f>IF(OR(D15="",D7=""),"",IF(D7&lt;=0,"NM",D15/D7))</f>
        <v/>
      </c>
      <c r="E16" s="22">
        <f>IF(OR(E15="",E7=""),"",IF(E7&lt;=0,"NM",E15/E7))</f>
        <v/>
      </c>
      <c r="F16" s="22">
        <f>IF(OR(F15="",F7=""),"",IF(F7&lt;=0,"NM",F15/F7))</f>
        <v/>
      </c>
      <c r="G16" s="22">
        <f>IF(OR(G15="",G7=""),"",IF(G7&lt;=0,"NM",G15/G7))</f>
        <v/>
      </c>
      <c r="H16" s="22">
        <f>IF(OR(H15="",H7=""),"",IF(H7&lt;=0,"NM",H15/H7))</f>
        <v/>
      </c>
      <c r="I16" s="22">
        <f>IF(OR(I15="",I7=""),"",IF(I7&lt;=0,"NM",I15/I7))</f>
        <v/>
      </c>
      <c r="J16" s="22">
        <f>IF(OR(J15="",J7=""),"",IF(J7&lt;=0,"NM",J15/J7))</f>
        <v/>
      </c>
      <c r="K16" s="22">
        <f>IF(OR(K15="",K7=""),"",IF(K7&lt;=0,"NM",K15/K7))</f>
        <v/>
      </c>
      <c r="L16" s="22">
        <f>IF(OR(L15="",L7=""),"",IF(L7&lt;=0,"NM",L15/L7))</f>
        <v/>
      </c>
      <c r="M16" s="23">
        <f>IF(OR(M15="",M7=""),"",IF(M7&lt;=0,"NM",M15/M7))</f>
        <v/>
      </c>
      <c r="N16" s="23">
        <f>IF(OR(N15="",N7=""),"",IF(N7&lt;=0,"NM",N15/N7))</f>
        <v/>
      </c>
      <c r="O16" s="23">
        <f>IF(OR(O15="",O7=""),"",IF(O7&lt;=0,"NM",O15/O7))</f>
        <v/>
      </c>
      <c r="P16" s="23">
        <f>IF(OR(P15="",P7=""),"",IF(P7&lt;=0,"NM",P15/P7))</f>
        <v/>
      </c>
    </row>
    <row r="17">
      <c r="A17" s="3" t="inlineStr">
        <is>
          <t>Interest and other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24" t="n"/>
      <c r="N17" s="24" t="n"/>
      <c r="O17" s="24" t="n"/>
      <c r="P17" s="24" t="n"/>
    </row>
    <row r="18">
      <c r="A18" s="3" t="inlineStr">
        <is>
          <t>Pretax income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24" t="n"/>
      <c r="N18" s="24" t="n"/>
      <c r="O18" s="24" t="n"/>
      <c r="P18" s="24" t="n"/>
    </row>
    <row r="19">
      <c r="A19" s="3" t="inlineStr">
        <is>
          <t>Taxes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24" t="n"/>
      <c r="N19" s="24" t="n"/>
      <c r="O19" s="24" t="n"/>
      <c r="P19" s="24" t="n"/>
    </row>
    <row r="20">
      <c r="A20" s="3" t="inlineStr">
        <is>
          <t>Tax rate</t>
        </is>
      </c>
      <c r="B20" s="22">
        <f>IF(OR(B19="",B18=""),"",IF(B18&lt;=0,"NM",B19/B18))</f>
        <v/>
      </c>
      <c r="C20" s="22">
        <f>IF(OR(C19="",C18=""),"",IF(C18&lt;=0,"NM",C19/C18))</f>
        <v/>
      </c>
      <c r="D20" s="22">
        <f>IF(OR(D19="",D18=""),"",IF(D18&lt;=0,"NM",D19/D18))</f>
        <v/>
      </c>
      <c r="E20" s="22">
        <f>IF(OR(E19="",E18=""),"",IF(E18&lt;=0,"NM",E19/E18))</f>
        <v/>
      </c>
      <c r="F20" s="22">
        <f>IF(OR(F19="",F18=""),"",IF(F18&lt;=0,"NM",F19/F18))</f>
        <v/>
      </c>
      <c r="G20" s="22">
        <f>IF(OR(G19="",G18=""),"",IF(G18&lt;=0,"NM",G19/G18))</f>
        <v/>
      </c>
      <c r="H20" s="22">
        <f>IF(OR(H19="",H18=""),"",IF(H18&lt;=0,"NM",H19/H18))</f>
        <v/>
      </c>
      <c r="I20" s="22">
        <f>IF(OR(I19="",I18=""),"",IF(I18&lt;=0,"NM",I19/I18))</f>
        <v/>
      </c>
      <c r="J20" s="22">
        <f>IF(OR(J19="",J18=""),"",IF(J18&lt;=0,"NM",J19/J18))</f>
        <v/>
      </c>
      <c r="K20" s="22">
        <f>IF(OR(K19="",K18=""),"",IF(K18&lt;=0,"NM",K19/K18))</f>
        <v/>
      </c>
      <c r="L20" s="22">
        <f>IF(OR(L19="",L18=""),"",IF(L18&lt;=0,"NM",L19/L18))</f>
        <v/>
      </c>
      <c r="M20" s="23">
        <f>IF(OR(M19="",M18=""),"",IF(M18&lt;=0,"NM",M19/M18))</f>
        <v/>
      </c>
      <c r="N20" s="23">
        <f>IF(OR(N19="",N18=""),"",IF(N18&lt;=0,"NM",N19/N18))</f>
        <v/>
      </c>
      <c r="O20" s="23">
        <f>IF(OR(O19="",O18=""),"",IF(O18&lt;=0,"NM",O19/O18))</f>
        <v/>
      </c>
      <c r="P20" s="23">
        <f>IF(OR(P19="",P18=""),"",IF(P18&lt;=0,"NM",P19/P18))</f>
        <v/>
      </c>
    </row>
    <row r="21">
      <c r="A21" s="2" t="inlineStr">
        <is>
          <t>Net income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1" t="n"/>
      <c r="N21" s="21" t="n"/>
      <c r="O21" s="21" t="n"/>
      <c r="P21" s="21" t="n"/>
    </row>
    <row r="22">
      <c r="A22" s="3" t="inlineStr">
        <is>
          <t>Diluted shares (M)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25" t="n"/>
      <c r="N22" s="25" t="n"/>
      <c r="O22" s="25" t="n"/>
      <c r="P22" s="25" t="n"/>
    </row>
    <row r="23">
      <c r="A23" s="3" t="inlineStr">
        <is>
          <t>EPS ($)</t>
        </is>
      </c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7" t="n"/>
      <c r="N23" s="27" t="n"/>
      <c r="O23" s="27" t="n"/>
      <c r="P23" s="27" t="n"/>
    </row>
    <row r="25">
      <c r="A25" s="3" t="inlineStr">
        <is>
          <t>CFO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24" t="n"/>
      <c r="N25" s="24" t="n"/>
      <c r="O25" s="24" t="n"/>
      <c r="P25" s="24" t="n"/>
    </row>
    <row r="26">
      <c r="A26" s="3" t="inlineStr">
        <is>
          <t>Capex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24" t="n"/>
      <c r="N26" s="24" t="n"/>
      <c r="O26" s="24" t="n"/>
      <c r="P26" s="24" t="n"/>
    </row>
    <row r="27">
      <c r="A27" s="2" t="inlineStr">
        <is>
          <t>FCF</t>
        </is>
      </c>
      <c r="B27" s="20">
        <f>IF(OR(B25="",B26=""),"",B25-B26)</f>
        <v/>
      </c>
      <c r="C27" s="20">
        <f>IF(OR(C25="",C26=""),"",C25-C26)</f>
        <v/>
      </c>
      <c r="D27" s="20">
        <f>IF(OR(D25="",D26=""),"",D25-D26)</f>
        <v/>
      </c>
      <c r="E27" s="20">
        <f>IF(OR(E25="",E26=""),"",E25-E26)</f>
        <v/>
      </c>
      <c r="F27" s="20">
        <f>IF(OR(F25="",F26=""),"",F25-F26)</f>
        <v/>
      </c>
      <c r="G27" s="20">
        <f>IF(OR(G25="",G26=""),"",G25-G26)</f>
        <v/>
      </c>
      <c r="H27" s="20">
        <f>IF(OR(H25="",H26=""),"",H25-H26)</f>
        <v/>
      </c>
      <c r="I27" s="20">
        <f>IF(OR(I25="",I26=""),"",I25-I26)</f>
        <v/>
      </c>
      <c r="J27" s="20">
        <f>IF(OR(J25="",J26=""),"",J25-J26)</f>
        <v/>
      </c>
      <c r="K27" s="20">
        <f>IF(OR(K25="",K26=""),"",K25-K26)</f>
        <v/>
      </c>
      <c r="L27" s="20">
        <f>IF(OR(L25="",L26=""),"",L25-L26)</f>
        <v/>
      </c>
      <c r="M27" s="21">
        <f>IF(OR(M25="",M26=""),"",M25-M26)</f>
        <v/>
      </c>
      <c r="N27" s="21">
        <f>IF(OR(N25="",N26=""),"",N25-N26)</f>
        <v/>
      </c>
      <c r="O27" s="21">
        <f>IF(OR(O25="",O26=""),"",O25-O26)</f>
        <v/>
      </c>
      <c r="P27" s="21">
        <f>IF(OR(P25="",P26=""),"",P25-P26)</f>
        <v/>
      </c>
    </row>
    <row r="29">
      <c r="A29" s="3" t="inlineStr">
        <is>
          <t>Backlog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24" t="n"/>
      <c r="N29" s="24" t="n"/>
      <c r="O29" s="24" t="n"/>
      <c r="P29" s="24" t="n"/>
    </row>
    <row r="30">
      <c r="A30" s="3" t="inlineStr">
        <is>
          <t>Guidance (next Q revenue)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24" t="n"/>
      <c r="N30" s="24" t="n"/>
      <c r="O30" s="24" t="n"/>
      <c r="P30" s="24" t="n"/>
    </row>
    <row r="32">
      <c r="A32" s="2" t="inlineStr">
        <is>
          <t>Segments</t>
        </is>
      </c>
    </row>
    <row r="33">
      <c r="A33" s="3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24" t="n"/>
      <c r="N33" s="24" t="n"/>
      <c r="O33" s="24" t="n"/>
      <c r="P33" s="24" t="n"/>
    </row>
    <row r="34">
      <c r="A34" s="3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24" t="n"/>
      <c r="N34" s="24" t="n"/>
      <c r="O34" s="24" t="n"/>
      <c r="P34" s="24" t="n"/>
    </row>
    <row r="35">
      <c r="A35" s="3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24" t="n"/>
      <c r="N35" s="24" t="n"/>
      <c r="O35" s="24" t="n"/>
      <c r="P35" s="24" t="n"/>
    </row>
    <row r="36">
      <c r="A36" s="3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24" t="n"/>
      <c r="N36" s="24" t="n"/>
      <c r="O36" s="24" t="n"/>
      <c r="P36" s="24" t="n"/>
    </row>
    <row r="37">
      <c r="A37" s="3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24" t="n"/>
      <c r="N37" s="24" t="n"/>
      <c r="O37" s="24" t="n"/>
      <c r="P37" s="24" t="n"/>
    </row>
    <row r="38">
      <c r="A38" s="3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24" t="n"/>
      <c r="N38" s="24" t="n"/>
      <c r="O38" s="24" t="n"/>
      <c r="P38" s="24" t="n"/>
    </row>
    <row r="39">
      <c r="A39" s="3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24" t="n"/>
      <c r="N39" s="24" t="n"/>
      <c r="O39" s="24" t="n"/>
      <c r="P39" s="24" t="n"/>
    </row>
    <row r="40">
      <c r="A40" s="3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24" t="n"/>
      <c r="N40" s="24" t="n"/>
      <c r="O40" s="24" t="n"/>
      <c r="P40" s="24" t="n"/>
    </row>
    <row r="42">
      <c r="A42" s="2" t="inlineStr">
        <is>
          <t>End markets</t>
        </is>
      </c>
    </row>
    <row r="43">
      <c r="A43" s="3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24" t="n"/>
      <c r="N43" s="24" t="n"/>
      <c r="O43" s="24" t="n"/>
      <c r="P43" s="24" t="n"/>
    </row>
    <row r="44">
      <c r="A44" s="3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24" t="n"/>
      <c r="N44" s="24" t="n"/>
      <c r="O44" s="24" t="n"/>
      <c r="P44" s="24" t="n"/>
    </row>
    <row r="45">
      <c r="A45" s="3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24" t="n"/>
      <c r="N45" s="24" t="n"/>
      <c r="O45" s="24" t="n"/>
      <c r="P45" s="24" t="n"/>
    </row>
    <row r="46">
      <c r="A46" s="3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24" t="n"/>
      <c r="N46" s="24" t="n"/>
      <c r="O46" s="24" t="n"/>
      <c r="P46" s="24" t="n"/>
    </row>
    <row r="47">
      <c r="A47" s="3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24" t="n"/>
      <c r="N47" s="24" t="n"/>
      <c r="O47" s="24" t="n"/>
      <c r="P47" s="24" t="n"/>
    </row>
    <row r="48">
      <c r="A48" s="3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24" t="n"/>
      <c r="N48" s="24" t="n"/>
      <c r="O48" s="24" t="n"/>
      <c r="P48" s="24" t="n"/>
    </row>
    <row r="49">
      <c r="A49" s="3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24" t="n"/>
      <c r="N49" s="24" t="n"/>
      <c r="O49" s="24" t="n"/>
      <c r="P49" s="24" t="n"/>
    </row>
    <row r="50">
      <c r="A50" s="3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24" t="n"/>
      <c r="N50" s="24" t="n"/>
      <c r="O50" s="24" t="n"/>
      <c r="P50" s="2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45" customWidth="1" min="5" max="5"/>
  </cols>
  <sheetData>
    <row r="1">
      <c r="A1" s="1" t="inlineStr">
        <is>
          <t>Run date</t>
        </is>
      </c>
      <c r="B1" s="1" t="inlineStr">
        <is>
          <t>Latest period</t>
        </is>
      </c>
      <c r="C1" s="1" t="inlineStr">
        <is>
          <t>What changed</t>
        </is>
      </c>
      <c r="D1" s="1" t="inlineStr">
        <is>
          <t>Filings used</t>
        </is>
      </c>
      <c r="E1" s="1" t="inlineStr">
        <is>
          <t>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2026-10-11T22:55:14Z</dcterms:created>
  <dcterms:modified xmlns:dcterms="http://purl.org/dc/terms/" xmlns:xsi="http://www.w3.org/2001/XMLSchema-instance" xsi:type="dcterms:W3CDTF">2026-10-11T22:55:14Z</dcterms:modified>
</cp:coreProperties>
</file>